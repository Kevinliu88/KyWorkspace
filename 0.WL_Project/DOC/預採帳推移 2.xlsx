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onderland365-my.sharepoint.com/personal/v-oliver_wang_wonderland_com_tw/Documents/Microsoft Teams 聊天檔案/"/>
    </mc:Choice>
  </mc:AlternateContent>
  <xr:revisionPtr revIDLastSave="222" documentId="13_ncr:1_{59CB8E51-9703-430F-8A8B-686CA515D785}" xr6:coauthVersionLast="47" xr6:coauthVersionMax="47" xr10:uidLastSave="{9EAC2DD6-73AE-418E-8B7B-47B95A22E830}"/>
  <bookViews>
    <workbookView xWindow="-110" yWindow="-110" windowWidth="19420" windowHeight="11500" xr2:uid="{66DC2AAF-8120-4449-848E-821DD577423F}"/>
  </bookViews>
  <sheets>
    <sheet name="預採帳推移" sheetId="1" r:id="rId1"/>
    <sheet name="工作表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R32" i="1"/>
  <c r="T32" i="1" s="1"/>
  <c r="R31" i="1"/>
  <c r="T31" i="1" s="1"/>
  <c r="L31" i="1"/>
  <c r="Q30" i="1"/>
  <c r="R29" i="1"/>
  <c r="T29" i="1" s="1"/>
  <c r="R28" i="1"/>
  <c r="T28" i="1" s="1"/>
  <c r="L28" i="1"/>
  <c r="R19" i="1"/>
  <c r="T19" i="1" s="1"/>
  <c r="L19" i="1"/>
  <c r="Q27" i="1"/>
  <c r="R26" i="1"/>
  <c r="T26" i="1" s="1"/>
  <c r="R25" i="1"/>
  <c r="T25" i="1" s="1"/>
  <c r="L25" i="1"/>
  <c r="L9" i="1"/>
  <c r="L12" i="1"/>
  <c r="L15" i="1"/>
  <c r="L18" i="1"/>
  <c r="L22" i="1"/>
  <c r="M3" i="1"/>
  <c r="L4" i="1" s="1"/>
  <c r="N4" i="1" s="1"/>
  <c r="Q24" i="1"/>
  <c r="R23" i="1"/>
  <c r="T23" i="1" s="1"/>
  <c r="R22" i="1"/>
  <c r="T22" i="1" s="1"/>
  <c r="Q21" i="1"/>
  <c r="R20" i="1"/>
  <c r="T20" i="1" s="1"/>
  <c r="R18" i="1"/>
  <c r="T18" i="1" s="1"/>
  <c r="Q17" i="1"/>
  <c r="P19" i="1" s="1"/>
  <c r="R16" i="1"/>
  <c r="T16" i="1" s="1"/>
  <c r="R15" i="1"/>
  <c r="T15" i="1" s="1"/>
  <c r="Q14" i="1"/>
  <c r="R13" i="1"/>
  <c r="T13" i="1" s="1"/>
  <c r="R12" i="1"/>
  <c r="T12" i="1" s="1"/>
  <c r="Q11" i="1"/>
  <c r="R10" i="1"/>
  <c r="T10" i="1" s="1"/>
  <c r="R9" i="1"/>
  <c r="T9" i="1" s="1"/>
  <c r="Q8" i="1"/>
  <c r="R7" i="1"/>
  <c r="T7" i="1" s="1"/>
  <c r="R6" i="1"/>
  <c r="T6" i="1" s="1"/>
  <c r="Q5" i="1"/>
  <c r="R4" i="1"/>
  <c r="T4" i="1" s="1"/>
  <c r="R3" i="1"/>
  <c r="T3" i="1" s="1"/>
  <c r="N3" i="1"/>
  <c r="Q3" i="1" s="1"/>
  <c r="P4" i="1" s="1"/>
  <c r="L6" i="1"/>
  <c r="M4" i="1" l="1"/>
  <c r="L5" i="1" s="1"/>
  <c r="N5" i="1" s="1"/>
  <c r="Q4" i="1"/>
  <c r="P5" i="1" s="1"/>
  <c r="R5" i="1" l="1"/>
  <c r="U3" i="1" l="1"/>
  <c r="I6" i="1" s="1"/>
  <c r="N6" i="1" l="1"/>
  <c r="Q6" i="1" s="1"/>
  <c r="P7" i="1" s="1"/>
  <c r="M6" i="1"/>
  <c r="L7" i="1" s="1"/>
  <c r="U4" i="1"/>
  <c r="I7" i="1" s="1"/>
  <c r="X3" i="1"/>
  <c r="M7" i="1" l="1"/>
  <c r="L8" i="1" s="1"/>
  <c r="U6" i="1"/>
  <c r="X6" i="1" s="1"/>
  <c r="N7" i="1"/>
  <c r="X4" i="1"/>
  <c r="T5" i="1"/>
  <c r="I9" i="1" l="1"/>
  <c r="N9" i="1"/>
  <c r="Q9" i="1" s="1"/>
  <c r="P10" i="1" s="1"/>
  <c r="M9" i="1"/>
  <c r="L10" i="1" s="1"/>
  <c r="M10" i="1" s="1"/>
  <c r="U7" i="1"/>
  <c r="Q7" i="1"/>
  <c r="P8" i="1" s="1"/>
  <c r="U5" i="1"/>
  <c r="N10" i="1" l="1"/>
  <c r="L11" i="1"/>
  <c r="U9" i="1"/>
  <c r="I12" i="1" s="1"/>
  <c r="X7" i="1"/>
  <c r="X9" i="1"/>
  <c r="I8" i="1"/>
  <c r="N8" i="1" s="1"/>
  <c r="X5" i="1"/>
  <c r="N12" i="1" l="1"/>
  <c r="M12" i="1"/>
  <c r="L13" i="1" s="1"/>
  <c r="U10" i="1"/>
  <c r="I13" i="1" s="1"/>
  <c r="Q10" i="1"/>
  <c r="P11" i="1" s="1"/>
  <c r="R8" i="1"/>
  <c r="T8" i="1" s="1"/>
  <c r="M13" i="1" l="1"/>
  <c r="L14" i="1" s="1"/>
  <c r="N13" i="1"/>
  <c r="Q12" i="1"/>
  <c r="P13" i="1" s="1"/>
  <c r="U12" i="1"/>
  <c r="X10" i="1"/>
  <c r="U8" i="1"/>
  <c r="I11" i="1" s="1"/>
  <c r="N11" i="1" s="1"/>
  <c r="X12" i="1" l="1"/>
  <c r="I15" i="1"/>
  <c r="U13" i="1"/>
  <c r="Q13" i="1"/>
  <c r="P14" i="1" s="1"/>
  <c r="R11" i="1"/>
  <c r="T11" i="1" s="1"/>
  <c r="X8" i="1"/>
  <c r="I16" i="1" l="1"/>
  <c r="X13" i="1"/>
  <c r="M15" i="1"/>
  <c r="L16" i="1" s="1"/>
  <c r="N15" i="1"/>
  <c r="U11" i="1"/>
  <c r="I14" i="1" s="1"/>
  <c r="N14" i="1" s="1"/>
  <c r="U15" i="1" l="1"/>
  <c r="I19" i="1" s="1"/>
  <c r="Q15" i="1"/>
  <c r="P16" i="1" s="1"/>
  <c r="N16" i="1"/>
  <c r="M16" i="1"/>
  <c r="L17" i="1" s="1"/>
  <c r="R14" i="1"/>
  <c r="T14" i="1" s="1"/>
  <c r="U14" i="1" s="1"/>
  <c r="X11" i="1"/>
  <c r="N19" i="1" l="1"/>
  <c r="M19" i="1"/>
  <c r="Q16" i="1"/>
  <c r="P17" i="1" s="1"/>
  <c r="U16" i="1"/>
  <c r="X15" i="1"/>
  <c r="I18" i="1"/>
  <c r="I17" i="1"/>
  <c r="N17" i="1" s="1"/>
  <c r="X14" i="1"/>
  <c r="Q19" i="1" l="1"/>
  <c r="U19" i="1"/>
  <c r="X19" i="1" s="1"/>
  <c r="R17" i="1"/>
  <c r="T17" i="1" s="1"/>
  <c r="U17" i="1" s="1"/>
  <c r="X17" i="1" s="1"/>
  <c r="M18" i="1"/>
  <c r="L20" i="1" s="1"/>
  <c r="N18" i="1"/>
  <c r="I20" i="1"/>
  <c r="X16" i="1"/>
  <c r="I21" i="1" l="1"/>
  <c r="Q18" i="1"/>
  <c r="P20" i="1" s="1"/>
  <c r="U18" i="1"/>
  <c r="N20" i="1"/>
  <c r="M20" i="1"/>
  <c r="L21" i="1" s="1"/>
  <c r="N21" i="1" l="1"/>
  <c r="Q20" i="1"/>
  <c r="P21" i="1" s="1"/>
  <c r="U20" i="1"/>
  <c r="X18" i="1"/>
  <c r="I22" i="1"/>
  <c r="R21" i="1" l="1"/>
  <c r="T21" i="1" s="1"/>
  <c r="U21" i="1" s="1"/>
  <c r="I24" i="1" s="1"/>
  <c r="I23" i="1"/>
  <c r="X20" i="1"/>
  <c r="M22" i="1"/>
  <c r="L23" i="1" s="1"/>
  <c r="N22" i="1"/>
  <c r="X21" i="1" l="1"/>
  <c r="U22" i="1"/>
  <c r="I25" i="1" s="1"/>
  <c r="Q22" i="1"/>
  <c r="P23" i="1" s="1"/>
  <c r="M23" i="1"/>
  <c r="L24" i="1" s="1"/>
  <c r="N24" i="1" s="1"/>
  <c r="N23" i="1"/>
  <c r="N25" i="1" l="1"/>
  <c r="M25" i="1"/>
  <c r="L26" i="1" s="1"/>
  <c r="X22" i="1"/>
  <c r="Q23" i="1"/>
  <c r="P24" i="1" s="1"/>
  <c r="R24" i="1" s="1"/>
  <c r="T24" i="1" s="1"/>
  <c r="U24" i="1" s="1"/>
  <c r="I27" i="1" s="1"/>
  <c r="U23" i="1"/>
  <c r="I26" i="1" s="1"/>
  <c r="U25" i="1" l="1"/>
  <c r="Q25" i="1"/>
  <c r="P26" i="1" s="1"/>
  <c r="N26" i="1"/>
  <c r="M26" i="1"/>
  <c r="L27" i="1" s="1"/>
  <c r="N27" i="1" s="1"/>
  <c r="X24" i="1"/>
  <c r="X23" i="1"/>
  <c r="X25" i="1" l="1"/>
  <c r="I28" i="1"/>
  <c r="U26" i="1"/>
  <c r="Q26" i="1"/>
  <c r="P27" i="1" s="1"/>
  <c r="R27" i="1" s="1"/>
  <c r="T27" i="1" s="1"/>
  <c r="U27" i="1" s="1"/>
  <c r="X27" i="1" l="1"/>
  <c r="I30" i="1"/>
  <c r="X26" i="1"/>
  <c r="I29" i="1"/>
  <c r="N28" i="1"/>
  <c r="M28" i="1"/>
  <c r="L29" i="1" s="1"/>
  <c r="N29" i="1" s="1"/>
  <c r="U29" i="1" l="1"/>
  <c r="Q28" i="1"/>
  <c r="P29" i="1" s="1"/>
  <c r="Q29" i="1" s="1"/>
  <c r="P30" i="1" s="1"/>
  <c r="U28" i="1"/>
  <c r="M29" i="1"/>
  <c r="L30" i="1" s="1"/>
  <c r="N30" i="1" s="1"/>
  <c r="R30" i="1" s="1"/>
  <c r="T30" i="1" s="1"/>
  <c r="U30" i="1" s="1"/>
  <c r="X30" i="1" l="1"/>
  <c r="I33" i="1"/>
  <c r="X28" i="1"/>
  <c r="I31" i="1"/>
  <c r="X29" i="1"/>
  <c r="I32" i="1"/>
  <c r="M31" i="1" l="1"/>
  <c r="L32" i="1" s="1"/>
  <c r="N31" i="1"/>
  <c r="U31" i="1" l="1"/>
  <c r="X31" i="1" s="1"/>
  <c r="Q31" i="1"/>
  <c r="P32" i="1" s="1"/>
  <c r="N32" i="1"/>
  <c r="M32" i="1"/>
  <c r="L33" i="1" s="1"/>
  <c r="N33" i="1" s="1"/>
  <c r="U32" i="1" l="1"/>
  <c r="X32" i="1" s="1"/>
  <c r="Q32" i="1"/>
  <c r="P33" i="1" s="1"/>
  <c r="R33" i="1" s="1"/>
  <c r="T33" i="1" s="1"/>
  <c r="U33" i="1" s="1"/>
  <c r="X33" i="1" s="1"/>
</calcChain>
</file>

<file path=xl/sharedStrings.xml><?xml version="1.0" encoding="utf-8"?>
<sst xmlns="http://schemas.openxmlformats.org/spreadsheetml/2006/main" count="144" uniqueCount="74">
  <si>
    <t>項次</t>
    <phoneticPr fontId="1" type="noConversion"/>
  </si>
  <si>
    <t>情境</t>
    <phoneticPr fontId="1" type="noConversion"/>
  </si>
  <si>
    <t>期別</t>
    <phoneticPr fontId="1" type="noConversion"/>
  </si>
  <si>
    <t>客戶</t>
    <phoneticPr fontId="1" type="noConversion"/>
  </si>
  <si>
    <t>線別</t>
    <phoneticPr fontId="1" type="noConversion"/>
  </si>
  <si>
    <t>廠別</t>
    <phoneticPr fontId="1" type="noConversion"/>
  </si>
  <si>
    <t>物料</t>
    <phoneticPr fontId="1" type="noConversion"/>
  </si>
  <si>
    <t>TYPE</t>
    <phoneticPr fontId="1" type="noConversion"/>
  </si>
  <si>
    <t>上期末</t>
    <phoneticPr fontId="1" type="noConversion"/>
  </si>
  <si>
    <t>完工</t>
    <phoneticPr fontId="1" type="noConversion"/>
  </si>
  <si>
    <t>出貨</t>
    <phoneticPr fontId="1" type="noConversion"/>
  </si>
  <si>
    <t>母階
完工扣帳</t>
    <phoneticPr fontId="1" type="noConversion"/>
  </si>
  <si>
    <t>展子階</t>
    <phoneticPr fontId="1" type="noConversion"/>
  </si>
  <si>
    <t>本期初</t>
    <phoneticPr fontId="1" type="noConversion"/>
  </si>
  <si>
    <t>訂單需求
(LT內)</t>
    <phoneticPr fontId="1" type="noConversion"/>
  </si>
  <si>
    <t>相依需求
(LT內)</t>
    <phoneticPr fontId="1" type="noConversion"/>
  </si>
  <si>
    <t>展BOM</t>
    <phoneticPr fontId="1" type="noConversion"/>
  </si>
  <si>
    <t>缺料</t>
    <phoneticPr fontId="1" type="noConversion"/>
  </si>
  <si>
    <t>MOQ/
MPQ</t>
    <phoneticPr fontId="1" type="noConversion"/>
  </si>
  <si>
    <t>本期
備料量</t>
    <phoneticPr fontId="1" type="noConversion"/>
  </si>
  <si>
    <t>本期末
Liability</t>
    <phoneticPr fontId="1" type="noConversion"/>
  </si>
  <si>
    <t>訂單需求
(LT外)</t>
    <phoneticPr fontId="1" type="noConversion"/>
  </si>
  <si>
    <t>相依需求
(LT外)</t>
    <phoneticPr fontId="1" type="noConversion"/>
  </si>
  <si>
    <t>公式</t>
    <phoneticPr fontId="1" type="noConversion"/>
  </si>
  <si>
    <t>實際</t>
    <phoneticPr fontId="1" type="noConversion"/>
  </si>
  <si>
    <t>資料</t>
    <phoneticPr fontId="1" type="noConversion"/>
  </si>
  <si>
    <t>M1</t>
    <phoneticPr fontId="1" type="noConversion"/>
  </si>
  <si>
    <t>接單</t>
    <phoneticPr fontId="1" type="noConversion"/>
  </si>
  <si>
    <t>成品</t>
    <phoneticPr fontId="1" type="noConversion"/>
  </si>
  <si>
    <t>E-製造</t>
    <phoneticPr fontId="1" type="noConversion"/>
  </si>
  <si>
    <t>半品</t>
    <phoneticPr fontId="1" type="noConversion"/>
  </si>
  <si>
    <t>E-製造</t>
  </si>
  <si>
    <t>原料</t>
    <phoneticPr fontId="1" type="noConversion"/>
  </si>
  <si>
    <t>F-採購</t>
  </si>
  <si>
    <t>M2</t>
    <phoneticPr fontId="1" type="noConversion"/>
  </si>
  <si>
    <t>訂單增量
(MOQ內)</t>
    <phoneticPr fontId="1" type="noConversion"/>
  </si>
  <si>
    <t>M3</t>
    <phoneticPr fontId="1" type="noConversion"/>
  </si>
  <si>
    <t>訂單增量
(超出MOQ)</t>
    <phoneticPr fontId="1" type="noConversion"/>
  </si>
  <si>
    <t>M4</t>
    <phoneticPr fontId="1" type="noConversion"/>
  </si>
  <si>
    <t>訂單減量</t>
    <phoneticPr fontId="1" type="noConversion"/>
  </si>
  <si>
    <t>M5</t>
    <phoneticPr fontId="1" type="noConversion"/>
  </si>
  <si>
    <t>訂單取消</t>
    <phoneticPr fontId="1" type="noConversion"/>
  </si>
  <si>
    <t>M6</t>
    <phoneticPr fontId="1" type="noConversion"/>
  </si>
  <si>
    <t>半成品
完工入庫</t>
    <phoneticPr fontId="1" type="noConversion"/>
  </si>
  <si>
    <t>半品-1</t>
    <phoneticPr fontId="1" type="noConversion"/>
  </si>
  <si>
    <t>半品-2</t>
    <phoneticPr fontId="1" type="noConversion"/>
  </si>
  <si>
    <t>M7</t>
    <phoneticPr fontId="1" type="noConversion"/>
  </si>
  <si>
    <t>成品
完工入庫</t>
    <phoneticPr fontId="1" type="noConversion"/>
  </si>
  <si>
    <t>M8</t>
    <phoneticPr fontId="1" type="noConversion"/>
  </si>
  <si>
    <t>成品出貨</t>
  </si>
  <si>
    <t>M9</t>
    <phoneticPr fontId="1" type="noConversion"/>
  </si>
  <si>
    <t>MTO完工
人工調整</t>
  </si>
  <si>
    <t>M9.1</t>
  </si>
  <si>
    <t>MTS完工
人工調整</t>
  </si>
  <si>
    <t>螢光色 代表需要人工盤點補入</t>
  </si>
  <si>
    <t>事件</t>
  </si>
  <si>
    <t>本期末 Liability</t>
  </si>
  <si>
    <t>備註1</t>
  </si>
  <si>
    <t>接單</t>
  </si>
  <si>
    <t>+</t>
  </si>
  <si>
    <t>訂單增量
(MOQ內)</t>
  </si>
  <si>
    <t>訂單減量</t>
  </si>
  <si>
    <t>保持</t>
  </si>
  <si>
    <t>訂單取消</t>
  </si>
  <si>
    <t>半成品
完工入庫</t>
  </si>
  <si>
    <t>分配</t>
  </si>
  <si>
    <t>半成品增加,原料減少</t>
  </si>
  <si>
    <t>成品
完工入庫</t>
  </si>
  <si>
    <t>成品增加,半品減少,原料減少</t>
  </si>
  <si>
    <t>-</t>
  </si>
  <si>
    <t>人工調整</t>
    <phoneticPr fontId="1" type="noConversion"/>
  </si>
  <si>
    <t>可以增加或減少</t>
  </si>
  <si>
    <t>Liability 結餘
(XQ餘量)</t>
    <phoneticPr fontId="1" type="noConversion"/>
  </si>
  <si>
    <t>Liability 與 ERP 庫存數量，或庫存增減無關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</si>
</sst>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4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4"/>
      <color theme="0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name val="新細明體"/>
      <family val="2"/>
      <scheme val="minor"/>
    </font>
    <font>
      <sz val="14"/>
      <color theme="0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3D3B5-A9F0-4980-AB3E-61205E5C5A5B}" name="表格1" displayName="表格1" ref="A1:C10" totalsRowShown="0" headerRowDxfId="4" dataDxfId="3">
  <autoFilter ref="A1:C10" xr:uid="{A183D3B5-A9F0-4980-AB3E-61205E5C5A5B}">
    <filterColumn colId="0" hiddenButton="1"/>
    <filterColumn colId="1" hiddenButton="1"/>
    <filterColumn colId="2" hiddenButton="1"/>
  </autoFilter>
  <tableColumns count="3">
    <tableColumn id="1" xr3:uid="{D7C23C9C-6C67-4AA5-996B-84EDFEE5B14C}" name="事件" dataDxfId="2"/>
    <tableColumn id="2" xr3:uid="{673AFCE5-B08F-4AB2-8E9A-10EF352CE12D}" name="本期末 Liability" dataDxfId="1"/>
    <tableColumn id="3" xr3:uid="{0C505D64-7E83-4D81-814D-8C5859FF071A}" name="備註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7369-6410-40C4-97BE-2C44A75799CF}">
  <dimension ref="A1:X35"/>
  <sheetViews>
    <sheetView tabSelected="1" zoomScale="70" zoomScaleNormal="70" workbookViewId="0">
      <pane xSplit="8" ySplit="2" topLeftCell="I15" activePane="bottomRight" state="frozen"/>
      <selection pane="topRight" activeCell="I1" sqref="I1"/>
      <selection pane="bottomLeft" activeCell="A3" sqref="A3"/>
      <selection pane="bottomRight" activeCell="P28" sqref="P28"/>
    </sheetView>
  </sheetViews>
  <sheetFormatPr defaultColWidth="8.90625" defaultRowHeight="21.65" customHeight="1" x14ac:dyDescent="0.4"/>
  <cols>
    <col min="1" max="1" width="7.453125" style="1" customWidth="1"/>
    <col min="2" max="2" width="17" style="10" customWidth="1"/>
    <col min="3" max="6" width="4.7265625" style="1" hidden="1" customWidth="1"/>
    <col min="7" max="8" width="11.36328125" style="1" customWidth="1"/>
    <col min="9" max="13" width="11.6328125" style="1" customWidth="1"/>
    <col min="14" max="14" width="11.6328125" style="22" customWidth="1"/>
    <col min="15" max="16" width="12.36328125" style="1" customWidth="1"/>
    <col min="17" max="17" width="11.36328125" style="1" customWidth="1"/>
    <col min="18" max="18" width="12.36328125" style="1" customWidth="1"/>
    <col min="19" max="20" width="11.36328125" style="1" customWidth="1"/>
    <col min="21" max="21" width="11.36328125" style="22" customWidth="1"/>
    <col min="22" max="23" width="13.453125" style="1" customWidth="1"/>
    <col min="24" max="24" width="12" style="22" customWidth="1"/>
    <col min="25" max="16384" width="8.90625" style="1"/>
  </cols>
  <sheetData>
    <row r="1" spans="1:24" s="4" customFormat="1" ht="52.9" customHeight="1" x14ac:dyDescent="0.4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72</v>
      </c>
    </row>
    <row r="2" spans="1:24" s="12" customFormat="1" ht="21.65" hidden="1" customHeight="1" x14ac:dyDescent="0.4">
      <c r="A2" s="38"/>
      <c r="B2" s="39"/>
      <c r="C2" s="39"/>
      <c r="D2" s="39"/>
      <c r="E2" s="39"/>
      <c r="F2" s="39"/>
      <c r="G2" s="39"/>
      <c r="H2" s="40"/>
      <c r="I2" s="11" t="s">
        <v>23</v>
      </c>
      <c r="J2" s="11" t="s">
        <v>24</v>
      </c>
      <c r="K2" s="11" t="s">
        <v>24</v>
      </c>
      <c r="L2" s="11" t="s">
        <v>23</v>
      </c>
      <c r="M2" s="9" t="s">
        <v>23</v>
      </c>
      <c r="N2" s="7" t="s">
        <v>23</v>
      </c>
      <c r="O2" s="9" t="s">
        <v>24</v>
      </c>
      <c r="P2" s="9" t="s">
        <v>23</v>
      </c>
      <c r="Q2" s="9" t="s">
        <v>23</v>
      </c>
      <c r="R2" s="9" t="s">
        <v>23</v>
      </c>
      <c r="S2" s="9" t="s">
        <v>25</v>
      </c>
      <c r="T2" s="9" t="s">
        <v>23</v>
      </c>
      <c r="U2" s="7" t="s">
        <v>23</v>
      </c>
      <c r="V2" s="9"/>
      <c r="W2" s="9"/>
      <c r="X2" s="7"/>
    </row>
    <row r="3" spans="1:24" s="12" customFormat="1" ht="24.65" customHeight="1" x14ac:dyDescent="0.4">
      <c r="A3" s="41" t="s">
        <v>26</v>
      </c>
      <c r="B3" s="42" t="s">
        <v>27</v>
      </c>
      <c r="C3" s="15"/>
      <c r="D3" s="15"/>
      <c r="E3" s="15"/>
      <c r="F3" s="13"/>
      <c r="G3" s="13" t="s">
        <v>28</v>
      </c>
      <c r="H3" s="13" t="s">
        <v>29</v>
      </c>
      <c r="I3" s="13">
        <v>0</v>
      </c>
      <c r="J3" s="13"/>
      <c r="K3" s="13"/>
      <c r="L3" s="13">
        <v>0</v>
      </c>
      <c r="M3" s="13">
        <f>IF((I3+J3)-(K3+L3)&lt;0,(L3+K3)-I3,J3)</f>
        <v>0</v>
      </c>
      <c r="N3" s="2">
        <f t="shared" ref="N3:N27" si="0">IF((I3+J3)-(K3+L3)&gt;0,I3+J3-K3-L3,0)</f>
        <v>0</v>
      </c>
      <c r="O3" s="13">
        <v>350</v>
      </c>
      <c r="P3" s="13"/>
      <c r="Q3" s="13">
        <f>IF(H3="E-製造",IF(N3-(O3+P3)&gt;0,0,(O3+P3)-N3),0)</f>
        <v>350</v>
      </c>
      <c r="R3" s="13">
        <f>IF(H3="E-製造",0,IF(N3-(O3+P3)&gt;0,0,N3-(O3+P3)))</f>
        <v>0</v>
      </c>
      <c r="S3" s="13">
        <v>1</v>
      </c>
      <c r="T3" s="13">
        <f t="shared" ref="T3:T24" si="1">ROUNDUP(R3/S3,0)*S3</f>
        <v>0</v>
      </c>
      <c r="U3" s="2">
        <f>N3</f>
        <v>0</v>
      </c>
      <c r="V3" s="13"/>
      <c r="W3" s="13"/>
      <c r="X3" s="2">
        <f t="shared" ref="X3:X24" si="2">IF(U3-(O3+P3+V3+W3)&lt;0,0,U3-(O3+P3+V3+W3))</f>
        <v>0</v>
      </c>
    </row>
    <row r="4" spans="1:24" s="12" customFormat="1" ht="24.65" customHeight="1" x14ac:dyDescent="0.4">
      <c r="A4" s="41"/>
      <c r="B4" s="42"/>
      <c r="C4" s="15"/>
      <c r="D4" s="15"/>
      <c r="E4" s="15"/>
      <c r="F4" s="13"/>
      <c r="G4" s="13" t="s">
        <v>30</v>
      </c>
      <c r="H4" s="13" t="s">
        <v>31</v>
      </c>
      <c r="I4" s="13">
        <v>0</v>
      </c>
      <c r="J4" s="13"/>
      <c r="K4" s="13"/>
      <c r="L4" s="13">
        <f t="shared" ref="L4:L27" si="3">M3</f>
        <v>0</v>
      </c>
      <c r="M4" s="13">
        <f>IF((I4+J4)-(K4+L4)&lt;0,(L4+K4)-I4,J4)</f>
        <v>0</v>
      </c>
      <c r="N4" s="2">
        <f t="shared" si="0"/>
        <v>0</v>
      </c>
      <c r="O4" s="13"/>
      <c r="P4" s="13">
        <f>IF(Q3&lt;&gt;"",Q3,"")</f>
        <v>350</v>
      </c>
      <c r="Q4" s="13">
        <f>IF(H4="E-製造",IF(N4-(O4+P4)&gt;0,0,(O4+P4)-N4),0)</f>
        <v>350</v>
      </c>
      <c r="R4" s="13">
        <f>IF(H4="E-製造",0,IF(N4-(O4+P4)&gt;0,0,N4-(O4+P4)))</f>
        <v>0</v>
      </c>
      <c r="S4" s="13">
        <v>1</v>
      </c>
      <c r="T4" s="13">
        <f t="shared" si="1"/>
        <v>0</v>
      </c>
      <c r="U4" s="2">
        <f>N4</f>
        <v>0</v>
      </c>
      <c r="V4" s="13"/>
      <c r="W4" s="13"/>
      <c r="X4" s="2">
        <f t="shared" si="2"/>
        <v>0</v>
      </c>
    </row>
    <row r="5" spans="1:24" s="12" customFormat="1" ht="24.65" customHeight="1" x14ac:dyDescent="0.4">
      <c r="A5" s="41"/>
      <c r="B5" s="42"/>
      <c r="C5" s="15"/>
      <c r="D5" s="15"/>
      <c r="E5" s="15"/>
      <c r="F5" s="13"/>
      <c r="G5" s="13" t="s">
        <v>32</v>
      </c>
      <c r="H5" s="13" t="s">
        <v>33</v>
      </c>
      <c r="I5" s="13">
        <v>0</v>
      </c>
      <c r="J5" s="13"/>
      <c r="K5" s="13"/>
      <c r="L5" s="13">
        <f t="shared" si="3"/>
        <v>0</v>
      </c>
      <c r="M5" s="13">
        <v>0</v>
      </c>
      <c r="N5" s="2">
        <f t="shared" si="0"/>
        <v>0</v>
      </c>
      <c r="O5" s="13"/>
      <c r="P5" s="13">
        <f>IF(Q4&lt;&gt;"",Q4,"")</f>
        <v>350</v>
      </c>
      <c r="Q5" s="13">
        <f>IF(H5="E-製造",IF(N5-(O5+P5)&gt;0,0,N5-(O5+P5)),0)</f>
        <v>0</v>
      </c>
      <c r="R5" s="13">
        <f>IF(H5="E-製造",0,IF(N5-(O5+P5)&gt;0,0,(O5+P5)-N5))</f>
        <v>350</v>
      </c>
      <c r="S5" s="13">
        <v>500</v>
      </c>
      <c r="T5" s="13">
        <f>ROUNDUP(R5/S5,0)*S5</f>
        <v>500</v>
      </c>
      <c r="U5" s="2">
        <f>N5+T5</f>
        <v>500</v>
      </c>
      <c r="V5" s="13"/>
      <c r="W5" s="13"/>
      <c r="X5" s="2">
        <f t="shared" si="2"/>
        <v>150</v>
      </c>
    </row>
    <row r="6" spans="1:24" s="12" customFormat="1" ht="24.65" customHeight="1" x14ac:dyDescent="0.4">
      <c r="A6" s="36" t="s">
        <v>34</v>
      </c>
      <c r="B6" s="37" t="s">
        <v>35</v>
      </c>
      <c r="C6" s="18"/>
      <c r="D6" s="18"/>
      <c r="E6" s="18"/>
      <c r="F6" s="16"/>
      <c r="G6" s="16" t="s">
        <v>28</v>
      </c>
      <c r="H6" s="16" t="s">
        <v>31</v>
      </c>
      <c r="I6" s="16">
        <f>U3</f>
        <v>0</v>
      </c>
      <c r="J6" s="16"/>
      <c r="K6" s="16"/>
      <c r="L6" s="16">
        <f t="shared" si="3"/>
        <v>0</v>
      </c>
      <c r="M6" s="16">
        <f>IF((I6+J6)-(K6+L6)&lt;0,(L6+K6)-I6,J6)</f>
        <v>0</v>
      </c>
      <c r="N6" s="3">
        <f t="shared" si="0"/>
        <v>0</v>
      </c>
      <c r="O6" s="16">
        <v>380</v>
      </c>
      <c r="P6" s="16"/>
      <c r="Q6" s="16">
        <f>IF(H6="E-製造",IF(N6-(O6+P6)&gt;0,0,(O6+P6)-N6),0)</f>
        <v>380</v>
      </c>
      <c r="R6" s="16">
        <f>IF(H6="E-製造",0,IF(N6-(O6+P6)&gt;0,0,N6-(O6+P6)))</f>
        <v>0</v>
      </c>
      <c r="S6" s="16">
        <v>1</v>
      </c>
      <c r="T6" s="16">
        <f t="shared" si="1"/>
        <v>0</v>
      </c>
      <c r="U6" s="3">
        <f>N6</f>
        <v>0</v>
      </c>
      <c r="V6" s="16"/>
      <c r="W6" s="16"/>
      <c r="X6" s="3">
        <f t="shared" si="2"/>
        <v>0</v>
      </c>
    </row>
    <row r="7" spans="1:24" s="12" customFormat="1" ht="24.65" customHeight="1" x14ac:dyDescent="0.4">
      <c r="A7" s="36"/>
      <c r="B7" s="37"/>
      <c r="C7" s="18"/>
      <c r="D7" s="18"/>
      <c r="E7" s="18"/>
      <c r="F7" s="16"/>
      <c r="G7" s="16" t="s">
        <v>30</v>
      </c>
      <c r="H7" s="16" t="s">
        <v>31</v>
      </c>
      <c r="I7" s="16">
        <f>U4</f>
        <v>0</v>
      </c>
      <c r="J7" s="16"/>
      <c r="K7" s="16"/>
      <c r="L7" s="16">
        <f t="shared" si="3"/>
        <v>0</v>
      </c>
      <c r="M7" s="16">
        <f>IF((I7+J7)-(K7+L7)&lt;0,(L7+K7)-I7,J7)</f>
        <v>0</v>
      </c>
      <c r="N7" s="3">
        <f t="shared" si="0"/>
        <v>0</v>
      </c>
      <c r="O7" s="16"/>
      <c r="P7" s="16">
        <f t="shared" ref="P7:P8" si="4">IF(Q6&lt;&gt;"",Q6,"")</f>
        <v>380</v>
      </c>
      <c r="Q7" s="16">
        <f>IF(H7="E-製造",IF(N7-(O7+P7)&gt;0,0,(O7+P7)-N7),0)</f>
        <v>380</v>
      </c>
      <c r="R7" s="16">
        <f>IF(H7="E-製造",0,IF(N7-(O7+P7)&gt;0,0,N7-(O7+P7)))</f>
        <v>0</v>
      </c>
      <c r="S7" s="16">
        <v>1</v>
      </c>
      <c r="T7" s="16">
        <f t="shared" si="1"/>
        <v>0</v>
      </c>
      <c r="U7" s="3">
        <f>N7</f>
        <v>0</v>
      </c>
      <c r="V7" s="16"/>
      <c r="W7" s="16"/>
      <c r="X7" s="3">
        <f t="shared" si="2"/>
        <v>0</v>
      </c>
    </row>
    <row r="8" spans="1:24" s="12" customFormat="1" ht="24.65" customHeight="1" x14ac:dyDescent="0.4">
      <c r="A8" s="36"/>
      <c r="B8" s="37"/>
      <c r="C8" s="18"/>
      <c r="D8" s="18"/>
      <c r="E8" s="18"/>
      <c r="F8" s="16"/>
      <c r="G8" s="16" t="s">
        <v>32</v>
      </c>
      <c r="H8" s="16" t="s">
        <v>33</v>
      </c>
      <c r="I8" s="16">
        <f>U5</f>
        <v>500</v>
      </c>
      <c r="J8" s="16"/>
      <c r="K8" s="16"/>
      <c r="L8" s="16">
        <f t="shared" si="3"/>
        <v>0</v>
      </c>
      <c r="M8" s="16">
        <v>0</v>
      </c>
      <c r="N8" s="3">
        <f t="shared" si="0"/>
        <v>500</v>
      </c>
      <c r="O8" s="16"/>
      <c r="P8" s="16">
        <f t="shared" si="4"/>
        <v>380</v>
      </c>
      <c r="Q8" s="16">
        <f>IF(H8="E-製造",IF(N8-(O8+P8)&gt;0,0,N8-(O8+P8)),0)</f>
        <v>0</v>
      </c>
      <c r="R8" s="16">
        <f>IF(H8="E-製造",0,IF(N8-(O8+P8)&gt;0,0,(O8+P8)-N8))</f>
        <v>0</v>
      </c>
      <c r="S8" s="16">
        <v>500</v>
      </c>
      <c r="T8" s="16">
        <f t="shared" si="1"/>
        <v>0</v>
      </c>
      <c r="U8" s="3">
        <f>N8+T8</f>
        <v>500</v>
      </c>
      <c r="V8" s="16"/>
      <c r="W8" s="16"/>
      <c r="X8" s="3">
        <f t="shared" si="2"/>
        <v>120</v>
      </c>
    </row>
    <row r="9" spans="1:24" s="12" customFormat="1" ht="24.65" customHeight="1" x14ac:dyDescent="0.4">
      <c r="A9" s="34" t="s">
        <v>36</v>
      </c>
      <c r="B9" s="35" t="s">
        <v>37</v>
      </c>
      <c r="C9" s="20"/>
      <c r="D9" s="20"/>
      <c r="E9" s="20"/>
      <c r="F9" s="19"/>
      <c r="G9" s="19" t="s">
        <v>28</v>
      </c>
      <c r="H9" s="19" t="s">
        <v>31</v>
      </c>
      <c r="I9" s="19">
        <f>U6</f>
        <v>0</v>
      </c>
      <c r="J9" s="19"/>
      <c r="K9" s="19"/>
      <c r="L9" s="13">
        <f t="shared" si="3"/>
        <v>0</v>
      </c>
      <c r="M9" s="13">
        <f>IF((I9+J9)-(K9+L9)&lt;0,(L9+K9)-I9,J9)</f>
        <v>0</v>
      </c>
      <c r="N9" s="2">
        <f t="shared" si="0"/>
        <v>0</v>
      </c>
      <c r="O9" s="19">
        <v>680</v>
      </c>
      <c r="P9" s="13"/>
      <c r="Q9" s="13">
        <f>IF(H9="E-製造",IF(N9-(O9+P9)&gt;0,0,(O9+P9)-N9),0)</f>
        <v>680</v>
      </c>
      <c r="R9" s="13">
        <f>IF(H9="E-製造",0,IF(N9-(O9+P9)&gt;0,0,N9-(O9+P9)))</f>
        <v>0</v>
      </c>
      <c r="S9" s="13">
        <v>1</v>
      </c>
      <c r="T9" s="13">
        <f t="shared" si="1"/>
        <v>0</v>
      </c>
      <c r="U9" s="8">
        <f>N9</f>
        <v>0</v>
      </c>
      <c r="V9" s="19"/>
      <c r="W9" s="19"/>
      <c r="X9" s="8">
        <f t="shared" si="2"/>
        <v>0</v>
      </c>
    </row>
    <row r="10" spans="1:24" s="12" customFormat="1" ht="24.65" customHeight="1" x14ac:dyDescent="0.4">
      <c r="A10" s="34"/>
      <c r="B10" s="35"/>
      <c r="C10" s="21"/>
      <c r="D10" s="21"/>
      <c r="E10" s="21"/>
      <c r="F10" s="19"/>
      <c r="G10" s="19" t="s">
        <v>30</v>
      </c>
      <c r="H10" s="19" t="s">
        <v>31</v>
      </c>
      <c r="I10" s="19">
        <v>0</v>
      </c>
      <c r="J10" s="19"/>
      <c r="K10" s="19"/>
      <c r="L10" s="13">
        <f t="shared" si="3"/>
        <v>0</v>
      </c>
      <c r="M10" s="13">
        <f>IF((I10+J10)-(K10+L10)&lt;0,(L10+K10)-I10,J10)</f>
        <v>0</v>
      </c>
      <c r="N10" s="2">
        <f t="shared" si="0"/>
        <v>0</v>
      </c>
      <c r="O10" s="19"/>
      <c r="P10" s="13">
        <f t="shared" ref="P10" si="5">IF(Q9&lt;&gt;"",Q9,"")</f>
        <v>680</v>
      </c>
      <c r="Q10" s="13">
        <f>IF(H10="E-製造",IF(N10-(O10+P10)&gt;0,0,(O10+P10)-N10),0)</f>
        <v>680</v>
      </c>
      <c r="R10" s="13">
        <f>IF(H10="E-製造",0,IF(N10-(O10+P10)&gt;0,0,N10-(O10+P10)))</f>
        <v>0</v>
      </c>
      <c r="S10" s="13">
        <v>1</v>
      </c>
      <c r="T10" s="13">
        <f t="shared" si="1"/>
        <v>0</v>
      </c>
      <c r="U10" s="8">
        <f>N10</f>
        <v>0</v>
      </c>
      <c r="V10" s="19"/>
      <c r="W10" s="19"/>
      <c r="X10" s="8">
        <f t="shared" si="2"/>
        <v>0</v>
      </c>
    </row>
    <row r="11" spans="1:24" s="12" customFormat="1" ht="24.65" customHeight="1" x14ac:dyDescent="0.4">
      <c r="A11" s="34"/>
      <c r="B11" s="35"/>
      <c r="C11" s="21"/>
      <c r="D11" s="21"/>
      <c r="E11" s="21"/>
      <c r="F11" s="19"/>
      <c r="G11" s="19" t="s">
        <v>32</v>
      </c>
      <c r="H11" s="19" t="s">
        <v>33</v>
      </c>
      <c r="I11" s="19">
        <f t="shared" ref="I11:I17" si="6">U8</f>
        <v>500</v>
      </c>
      <c r="J11" s="19"/>
      <c r="K11" s="19"/>
      <c r="L11" s="13">
        <f t="shared" si="3"/>
        <v>0</v>
      </c>
      <c r="M11" s="13">
        <v>0</v>
      </c>
      <c r="N11" s="2">
        <f t="shared" si="0"/>
        <v>500</v>
      </c>
      <c r="O11" s="19"/>
      <c r="P11" s="13">
        <f>IF(Q10&lt;&gt;"",Q10,"")</f>
        <v>680</v>
      </c>
      <c r="Q11" s="13">
        <f>IF(H11="E-製造",IF(N11-(O11+P11)&gt;0,0,N11-(O11+P11)),0)</f>
        <v>0</v>
      </c>
      <c r="R11" s="13">
        <f>IF(H11="E-製造",0,IF(N11-(O11+P11)&gt;0,0,(O11+P11)-N11))</f>
        <v>180</v>
      </c>
      <c r="S11" s="13">
        <v>500</v>
      </c>
      <c r="T11" s="13">
        <f t="shared" si="1"/>
        <v>500</v>
      </c>
      <c r="U11" s="8">
        <f>N11+T11</f>
        <v>1000</v>
      </c>
      <c r="V11" s="19"/>
      <c r="W11" s="19"/>
      <c r="X11" s="8">
        <f t="shared" si="2"/>
        <v>320</v>
      </c>
    </row>
    <row r="12" spans="1:24" s="12" customFormat="1" ht="24.65" customHeight="1" x14ac:dyDescent="0.4">
      <c r="A12" s="36" t="s">
        <v>38</v>
      </c>
      <c r="B12" s="37" t="s">
        <v>39</v>
      </c>
      <c r="C12" s="18"/>
      <c r="D12" s="18"/>
      <c r="E12" s="18"/>
      <c r="F12" s="16"/>
      <c r="G12" s="16" t="s">
        <v>28</v>
      </c>
      <c r="H12" s="16" t="s">
        <v>31</v>
      </c>
      <c r="I12" s="16">
        <f t="shared" si="6"/>
        <v>0</v>
      </c>
      <c r="J12" s="16"/>
      <c r="K12" s="16"/>
      <c r="L12" s="16">
        <f t="shared" si="3"/>
        <v>0</v>
      </c>
      <c r="M12" s="16">
        <f>IF((I12+J12)-(K12+L12)&lt;0,(L12+K12)-I12,J12)</f>
        <v>0</v>
      </c>
      <c r="N12" s="3">
        <f t="shared" si="0"/>
        <v>0</v>
      </c>
      <c r="O12" s="16">
        <v>450</v>
      </c>
      <c r="P12" s="16"/>
      <c r="Q12" s="16">
        <f>IF(H12="E-製造",IF(N12-(O12+P12)&gt;0,0,(O12+P12)-N12),0)</f>
        <v>450</v>
      </c>
      <c r="R12" s="16">
        <f>IF(H12="E-製造",0,IF(N12-(O12+P12)&gt;0,0,N12-(O12+P12)))</f>
        <v>0</v>
      </c>
      <c r="S12" s="16">
        <v>1</v>
      </c>
      <c r="T12" s="16">
        <f t="shared" si="1"/>
        <v>0</v>
      </c>
      <c r="U12" s="3">
        <f>N12</f>
        <v>0</v>
      </c>
      <c r="V12" s="16"/>
      <c r="W12" s="16"/>
      <c r="X12" s="3">
        <f t="shared" si="2"/>
        <v>0</v>
      </c>
    </row>
    <row r="13" spans="1:24" s="12" customFormat="1" ht="24.65" customHeight="1" x14ac:dyDescent="0.4">
      <c r="A13" s="36"/>
      <c r="B13" s="37"/>
      <c r="C13" s="18"/>
      <c r="D13" s="18"/>
      <c r="E13" s="18"/>
      <c r="F13" s="16"/>
      <c r="G13" s="16" t="s">
        <v>30</v>
      </c>
      <c r="H13" s="16" t="s">
        <v>31</v>
      </c>
      <c r="I13" s="16">
        <f t="shared" si="6"/>
        <v>0</v>
      </c>
      <c r="J13" s="16"/>
      <c r="K13" s="16"/>
      <c r="L13" s="16">
        <f t="shared" si="3"/>
        <v>0</v>
      </c>
      <c r="M13" s="16">
        <f>IF((I13+J13)-(K13+L13)&lt;0,(L13+K13)-I13,J13)</f>
        <v>0</v>
      </c>
      <c r="N13" s="3">
        <f t="shared" si="0"/>
        <v>0</v>
      </c>
      <c r="O13" s="16"/>
      <c r="P13" s="16">
        <f t="shared" ref="P13:P14" si="7">IF(Q12&lt;&gt;"",Q12,"")</f>
        <v>450</v>
      </c>
      <c r="Q13" s="16">
        <f>IF(H13="E-製造",IF(N13-(O13+P13)&gt;0,0,(O13+P13)-N13),0)</f>
        <v>450</v>
      </c>
      <c r="R13" s="16">
        <f>IF(H13="E-製造",0,IF(N13-(O13+P13)&gt;0,0,N13-(O13+P13)))</f>
        <v>0</v>
      </c>
      <c r="S13" s="16">
        <v>1</v>
      </c>
      <c r="T13" s="16">
        <f t="shared" si="1"/>
        <v>0</v>
      </c>
      <c r="U13" s="3">
        <f>N13</f>
        <v>0</v>
      </c>
      <c r="V13" s="16"/>
      <c r="W13" s="16"/>
      <c r="X13" s="3">
        <f t="shared" si="2"/>
        <v>0</v>
      </c>
    </row>
    <row r="14" spans="1:24" s="12" customFormat="1" ht="24.65" customHeight="1" x14ac:dyDescent="0.4">
      <c r="A14" s="36"/>
      <c r="B14" s="37"/>
      <c r="C14" s="18"/>
      <c r="D14" s="18"/>
      <c r="E14" s="18"/>
      <c r="F14" s="16"/>
      <c r="G14" s="16" t="s">
        <v>32</v>
      </c>
      <c r="H14" s="16" t="s">
        <v>33</v>
      </c>
      <c r="I14" s="16">
        <f t="shared" si="6"/>
        <v>1000</v>
      </c>
      <c r="J14" s="16"/>
      <c r="K14" s="16"/>
      <c r="L14" s="16">
        <f t="shared" si="3"/>
        <v>0</v>
      </c>
      <c r="M14" s="16">
        <v>0</v>
      </c>
      <c r="N14" s="3">
        <f t="shared" si="0"/>
        <v>1000</v>
      </c>
      <c r="O14" s="16"/>
      <c r="P14" s="16">
        <f t="shared" si="7"/>
        <v>450</v>
      </c>
      <c r="Q14" s="16">
        <f>IF(H14="E-製造",IF(N14-(O14+P14)&gt;0,0,N14-(O14+P14)),0)</f>
        <v>0</v>
      </c>
      <c r="R14" s="16">
        <f>IF(H14="E-製造",0,IF(N14-(O14+P14)&gt;0,0,(O14+P14)-N14))</f>
        <v>0</v>
      </c>
      <c r="S14" s="16">
        <v>500</v>
      </c>
      <c r="T14" s="16">
        <f t="shared" si="1"/>
        <v>0</v>
      </c>
      <c r="U14" s="3">
        <f>N14+T14</f>
        <v>1000</v>
      </c>
      <c r="V14" s="16"/>
      <c r="W14" s="16"/>
      <c r="X14" s="3">
        <f t="shared" si="2"/>
        <v>550</v>
      </c>
    </row>
    <row r="15" spans="1:24" s="12" customFormat="1" ht="24.65" customHeight="1" x14ac:dyDescent="0.4">
      <c r="A15" s="41" t="s">
        <v>40</v>
      </c>
      <c r="B15" s="35" t="s">
        <v>41</v>
      </c>
      <c r="C15" s="14"/>
      <c r="D15" s="14"/>
      <c r="E15" s="14"/>
      <c r="F15" s="13"/>
      <c r="G15" s="13" t="s">
        <v>28</v>
      </c>
      <c r="H15" s="13" t="s">
        <v>31</v>
      </c>
      <c r="I15" s="19">
        <f t="shared" si="6"/>
        <v>0</v>
      </c>
      <c r="J15" s="13"/>
      <c r="K15" s="13"/>
      <c r="L15" s="13">
        <f t="shared" si="3"/>
        <v>0</v>
      </c>
      <c r="M15" s="13">
        <f>IF((I15+J15)-(K15+L15)&lt;0,(L15+K15)-I15,J15)</f>
        <v>0</v>
      </c>
      <c r="N15" s="2">
        <f t="shared" si="0"/>
        <v>0</v>
      </c>
      <c r="O15" s="13">
        <v>0</v>
      </c>
      <c r="P15" s="13"/>
      <c r="Q15" s="13">
        <f>IF(H15="E-製造",IF(N15-(O15+P15)&gt;0,0,(O15+P15)-N15),0)</f>
        <v>0</v>
      </c>
      <c r="R15" s="13">
        <f>IF(H15="E-製造",0,IF(N15-(O15+P15)&gt;0,0,N15-(O15+P15)))</f>
        <v>0</v>
      </c>
      <c r="S15" s="13">
        <v>1</v>
      </c>
      <c r="T15" s="13">
        <f t="shared" si="1"/>
        <v>0</v>
      </c>
      <c r="U15" s="2">
        <f>N15</f>
        <v>0</v>
      </c>
      <c r="V15" s="13"/>
      <c r="W15" s="13"/>
      <c r="X15" s="2">
        <f t="shared" si="2"/>
        <v>0</v>
      </c>
    </row>
    <row r="16" spans="1:24" s="12" customFormat="1" ht="24.65" customHeight="1" x14ac:dyDescent="0.4">
      <c r="A16" s="41"/>
      <c r="B16" s="35"/>
      <c r="C16" s="15"/>
      <c r="D16" s="15"/>
      <c r="E16" s="15"/>
      <c r="F16" s="13"/>
      <c r="G16" s="13" t="s">
        <v>30</v>
      </c>
      <c r="H16" s="13" t="s">
        <v>31</v>
      </c>
      <c r="I16" s="19">
        <f t="shared" si="6"/>
        <v>0</v>
      </c>
      <c r="J16" s="13"/>
      <c r="K16" s="13"/>
      <c r="L16" s="13">
        <f t="shared" si="3"/>
        <v>0</v>
      </c>
      <c r="M16" s="13">
        <f>IF((I16+J16)-(K16+L16)&lt;0,(L16+K16)-I16,J16)</f>
        <v>0</v>
      </c>
      <c r="N16" s="2">
        <f t="shared" si="0"/>
        <v>0</v>
      </c>
      <c r="O16" s="13"/>
      <c r="P16" s="13">
        <f t="shared" ref="P16:P17" si="8">IF(Q15&lt;&gt;"",Q15,"")</f>
        <v>0</v>
      </c>
      <c r="Q16" s="13">
        <f>IF(H16="E-製造",IF(N16-(O16+P16)&gt;0,0,(O16+P16)-N16),0)</f>
        <v>0</v>
      </c>
      <c r="R16" s="13">
        <f>IF(H16="E-製造",0,IF(N16-(O16+P16)&gt;0,0,N16-(O16+P16)))</f>
        <v>0</v>
      </c>
      <c r="S16" s="13">
        <v>1</v>
      </c>
      <c r="T16" s="13">
        <f t="shared" si="1"/>
        <v>0</v>
      </c>
      <c r="U16" s="2">
        <f>N16</f>
        <v>0</v>
      </c>
      <c r="V16" s="13"/>
      <c r="W16" s="13"/>
      <c r="X16" s="2">
        <f t="shared" si="2"/>
        <v>0</v>
      </c>
    </row>
    <row r="17" spans="1:24" s="12" customFormat="1" ht="24.65" customHeight="1" x14ac:dyDescent="0.4">
      <c r="A17" s="41"/>
      <c r="B17" s="35"/>
      <c r="C17" s="15"/>
      <c r="D17" s="15"/>
      <c r="E17" s="15"/>
      <c r="F17" s="13"/>
      <c r="G17" s="13" t="s">
        <v>32</v>
      </c>
      <c r="H17" s="13" t="s">
        <v>33</v>
      </c>
      <c r="I17" s="19">
        <f t="shared" si="6"/>
        <v>1000</v>
      </c>
      <c r="J17" s="13"/>
      <c r="K17" s="13"/>
      <c r="L17" s="13">
        <f t="shared" si="3"/>
        <v>0</v>
      </c>
      <c r="M17" s="13">
        <v>0</v>
      </c>
      <c r="N17" s="2">
        <f t="shared" si="0"/>
        <v>1000</v>
      </c>
      <c r="O17" s="13"/>
      <c r="P17" s="13">
        <f t="shared" si="8"/>
        <v>0</v>
      </c>
      <c r="Q17" s="13">
        <f>IF(H17="E-製造",IF(N17-(O17+P17)&gt;0,0,N17-(O17+P17)),0)</f>
        <v>0</v>
      </c>
      <c r="R17" s="13">
        <f>IF(H17="E-製造",0,IF(N17-(O17+P17)&gt;0,0,(O17+P17)-N17))</f>
        <v>0</v>
      </c>
      <c r="S17" s="13">
        <v>500</v>
      </c>
      <c r="T17" s="13">
        <f t="shared" si="1"/>
        <v>0</v>
      </c>
      <c r="U17" s="2">
        <f>N17+T17</f>
        <v>1000</v>
      </c>
      <c r="V17" s="13"/>
      <c r="W17" s="13"/>
      <c r="X17" s="2">
        <f t="shared" si="2"/>
        <v>1000</v>
      </c>
    </row>
    <row r="18" spans="1:24" s="12" customFormat="1" ht="24.65" customHeight="1" x14ac:dyDescent="0.4">
      <c r="A18" s="36" t="s">
        <v>42</v>
      </c>
      <c r="B18" s="37" t="s">
        <v>43</v>
      </c>
      <c r="C18" s="17"/>
      <c r="D18" s="17"/>
      <c r="E18" s="17"/>
      <c r="F18" s="16"/>
      <c r="G18" s="16" t="s">
        <v>28</v>
      </c>
      <c r="H18" s="16" t="s">
        <v>31</v>
      </c>
      <c r="I18" s="16">
        <f>U15</f>
        <v>0</v>
      </c>
      <c r="J18" s="16"/>
      <c r="K18" s="16"/>
      <c r="L18" s="16">
        <f>M17</f>
        <v>0</v>
      </c>
      <c r="M18" s="16">
        <f>IF((I18+J18)-(K18+L18)&lt;0,(L18+K18)-I18,J18)</f>
        <v>0</v>
      </c>
      <c r="N18" s="3">
        <f t="shared" si="0"/>
        <v>0</v>
      </c>
      <c r="O18" s="16">
        <v>200</v>
      </c>
      <c r="P18" s="16"/>
      <c r="Q18" s="16">
        <f>IF(H18="E-製造",IF(N18-(O18+P18)&gt;0,0,(O18+P18)-N18),0)</f>
        <v>200</v>
      </c>
      <c r="R18" s="16">
        <f>IF(H18="E-製造",0,IF(N18-(O18+P18)&gt;0,0,N18-(O18+P18)))</f>
        <v>0</v>
      </c>
      <c r="S18" s="16">
        <v>1</v>
      </c>
      <c r="T18" s="16">
        <f t="shared" si="1"/>
        <v>0</v>
      </c>
      <c r="U18" s="16">
        <f>N18</f>
        <v>0</v>
      </c>
      <c r="V18" s="16"/>
      <c r="W18" s="16"/>
      <c r="X18" s="3">
        <f t="shared" si="2"/>
        <v>0</v>
      </c>
    </row>
    <row r="19" spans="1:24" s="12" customFormat="1" ht="24.65" customHeight="1" x14ac:dyDescent="0.4">
      <c r="A19" s="36"/>
      <c r="B19" s="37"/>
      <c r="C19" s="18"/>
      <c r="D19" s="18"/>
      <c r="E19" s="18"/>
      <c r="F19" s="16"/>
      <c r="G19" s="16" t="s">
        <v>44</v>
      </c>
      <c r="H19" s="16" t="s">
        <v>31</v>
      </c>
      <c r="I19" s="16">
        <f>U15</f>
        <v>0</v>
      </c>
      <c r="J19" s="23"/>
      <c r="K19" s="16"/>
      <c r="L19" s="16">
        <f>M17</f>
        <v>0</v>
      </c>
      <c r="M19" s="16">
        <f>IF((I19+J19)-(K19+L19)&lt;0,(L19+K19)-I19,J19)</f>
        <v>0</v>
      </c>
      <c r="N19" s="3">
        <f t="shared" ref="N19" si="9">IF((I19+J19)-(K19+L19)&gt;0,I19+J19-K19-L19,0)</f>
        <v>0</v>
      </c>
      <c r="O19" s="16"/>
      <c r="P19" s="16">
        <f>IF(Q17&lt;&gt;"",Q17,"")</f>
        <v>0</v>
      </c>
      <c r="Q19" s="16">
        <f>IF(H19="E-製造",IF(N19-(O19+P19)&gt;0,0,(O19+P19)-N19),0)</f>
        <v>0</v>
      </c>
      <c r="R19" s="16">
        <f>IF(H19="E-製造",0,IF(N19-(O19+P19)&gt;0,0,N19-(O19+P19)))</f>
        <v>0</v>
      </c>
      <c r="S19" s="16">
        <v>1</v>
      </c>
      <c r="T19" s="16">
        <f t="shared" ref="T19" si="10">ROUNDUP(R19/S19,0)*S19</f>
        <v>0</v>
      </c>
      <c r="U19" s="16">
        <f>N19</f>
        <v>0</v>
      </c>
      <c r="V19" s="16"/>
      <c r="W19" s="16"/>
      <c r="X19" s="3">
        <f t="shared" ref="X19" si="11">IF(U19-(O19+P19+V19+W19)&lt;0,0,U19-(O19+P19+V19+W19))</f>
        <v>0</v>
      </c>
    </row>
    <row r="20" spans="1:24" s="12" customFormat="1" ht="24.65" customHeight="1" x14ac:dyDescent="0.4">
      <c r="A20" s="36"/>
      <c r="B20" s="37"/>
      <c r="C20" s="18"/>
      <c r="D20" s="18"/>
      <c r="E20" s="18"/>
      <c r="F20" s="16"/>
      <c r="G20" s="16" t="s">
        <v>45</v>
      </c>
      <c r="H20" s="16" t="s">
        <v>31</v>
      </c>
      <c r="I20" s="16">
        <f>U16</f>
        <v>0</v>
      </c>
      <c r="J20" s="23">
        <v>180</v>
      </c>
      <c r="K20" s="16"/>
      <c r="L20" s="16">
        <f>M18</f>
        <v>0</v>
      </c>
      <c r="M20" s="16">
        <f>IF((I20+J20)-(K20+L20)&lt;0,(L20+K20)-I20,J20)</f>
        <v>180</v>
      </c>
      <c r="N20" s="3">
        <f t="shared" si="0"/>
        <v>180</v>
      </c>
      <c r="O20" s="16"/>
      <c r="P20" s="16">
        <f>IF(Q18&lt;&gt;"",Q18,"")</f>
        <v>200</v>
      </c>
      <c r="Q20" s="16">
        <f>IF(H20="E-製造",IF(N20-(O20+P20)&gt;0,0,(O20+P20)-N20),0)</f>
        <v>20</v>
      </c>
      <c r="R20" s="16">
        <f>IF(H20="E-製造",0,IF(N20-(O20+P20)&gt;0,0,N20-(O20+P20)))</f>
        <v>0</v>
      </c>
      <c r="S20" s="16">
        <v>1</v>
      </c>
      <c r="T20" s="16">
        <f t="shared" si="1"/>
        <v>0</v>
      </c>
      <c r="U20" s="16">
        <f>N20</f>
        <v>180</v>
      </c>
      <c r="V20" s="16"/>
      <c r="W20" s="16"/>
      <c r="X20" s="3">
        <f t="shared" si="2"/>
        <v>0</v>
      </c>
    </row>
    <row r="21" spans="1:24" s="12" customFormat="1" ht="24.65" customHeight="1" x14ac:dyDescent="0.4">
      <c r="A21" s="36"/>
      <c r="B21" s="37"/>
      <c r="C21" s="18"/>
      <c r="D21" s="18"/>
      <c r="E21" s="18"/>
      <c r="F21" s="16"/>
      <c r="G21" s="16" t="s">
        <v>32</v>
      </c>
      <c r="H21" s="16" t="s">
        <v>33</v>
      </c>
      <c r="I21" s="16">
        <f>U17</f>
        <v>1000</v>
      </c>
      <c r="J21" s="16"/>
      <c r="K21" s="16"/>
      <c r="L21" s="16">
        <f t="shared" si="3"/>
        <v>180</v>
      </c>
      <c r="M21" s="16">
        <v>0</v>
      </c>
      <c r="N21" s="3">
        <f t="shared" si="0"/>
        <v>820</v>
      </c>
      <c r="O21" s="16"/>
      <c r="P21" s="16">
        <f t="shared" ref="P21" si="12">IF(Q20&lt;&gt;"",Q20,"")</f>
        <v>20</v>
      </c>
      <c r="Q21" s="16">
        <f>IF(H21="E-製造",IF(N21-(O21+P21)&gt;0,0,N21-(O21+P21)),0)</f>
        <v>0</v>
      </c>
      <c r="R21" s="16">
        <f>IF(H21="E-製造",0,IF(N21-(O21+P21)&gt;0,0,(O21+P21)-N21))</f>
        <v>0</v>
      </c>
      <c r="S21" s="16">
        <v>500</v>
      </c>
      <c r="T21" s="16">
        <f t="shared" si="1"/>
        <v>0</v>
      </c>
      <c r="U21" s="16">
        <f>N21+T21</f>
        <v>820</v>
      </c>
      <c r="V21" s="16"/>
      <c r="W21" s="16"/>
      <c r="X21" s="3">
        <f t="shared" si="2"/>
        <v>800</v>
      </c>
    </row>
    <row r="22" spans="1:24" s="12" customFormat="1" ht="24.65" customHeight="1" x14ac:dyDescent="0.4">
      <c r="A22" s="41" t="s">
        <v>46</v>
      </c>
      <c r="B22" s="42" t="s">
        <v>47</v>
      </c>
      <c r="C22" s="14"/>
      <c r="D22" s="14"/>
      <c r="E22" s="14"/>
      <c r="F22" s="13"/>
      <c r="G22" s="13" t="s">
        <v>28</v>
      </c>
      <c r="H22" s="13" t="s">
        <v>31</v>
      </c>
      <c r="I22" s="19">
        <f>U18</f>
        <v>0</v>
      </c>
      <c r="J22" s="23">
        <v>80</v>
      </c>
      <c r="K22" s="13"/>
      <c r="L22" s="13">
        <f>M21</f>
        <v>0</v>
      </c>
      <c r="M22" s="13">
        <f>IF((I22+J22)-(K22+L22)&lt;0,(L22+K22)-I22,J22)</f>
        <v>80</v>
      </c>
      <c r="N22" s="2">
        <f t="shared" si="0"/>
        <v>80</v>
      </c>
      <c r="O22" s="13">
        <v>200</v>
      </c>
      <c r="P22" s="13"/>
      <c r="Q22" s="13">
        <f>IF(H22="E-製造",IF(N22-(O22+P22)&gt;0,0,(O22+P22)-N22),0)</f>
        <v>120</v>
      </c>
      <c r="R22" s="13">
        <f>IF(H22="E-製造",0,IF(N22-(O22+P22)&gt;0,0,N22-(O22+P22)))</f>
        <v>0</v>
      </c>
      <c r="S22" s="13">
        <v>1</v>
      </c>
      <c r="T22" s="13">
        <f t="shared" si="1"/>
        <v>0</v>
      </c>
      <c r="U22" s="13">
        <f>N22</f>
        <v>80</v>
      </c>
      <c r="V22" s="13"/>
      <c r="W22" s="13"/>
      <c r="X22" s="2">
        <f t="shared" si="2"/>
        <v>0</v>
      </c>
    </row>
    <row r="23" spans="1:24" s="12" customFormat="1" ht="24.65" customHeight="1" x14ac:dyDescent="0.4">
      <c r="A23" s="41"/>
      <c r="B23" s="42"/>
      <c r="C23" s="15"/>
      <c r="D23" s="15"/>
      <c r="E23" s="15"/>
      <c r="F23" s="13"/>
      <c r="G23" s="13" t="s">
        <v>30</v>
      </c>
      <c r="H23" s="13" t="s">
        <v>31</v>
      </c>
      <c r="I23" s="19">
        <f>U20</f>
        <v>180</v>
      </c>
      <c r="J23" s="13"/>
      <c r="K23" s="13"/>
      <c r="L23" s="13">
        <f t="shared" si="3"/>
        <v>80</v>
      </c>
      <c r="M23" s="13">
        <f>IF((I23+J23)-(K23+L23)&lt;0,(L23+K23)-I23,J23)</f>
        <v>0</v>
      </c>
      <c r="N23" s="2">
        <f t="shared" si="0"/>
        <v>100</v>
      </c>
      <c r="O23" s="13"/>
      <c r="P23" s="13">
        <f t="shared" ref="P23:P24" si="13">IF(Q22&lt;&gt;"",Q22,"")</f>
        <v>120</v>
      </c>
      <c r="Q23" s="13">
        <f>IF(H23="E-製造",IF(N23-(O23+P23)&gt;0,0,(O23+P23)-N23),0)</f>
        <v>20</v>
      </c>
      <c r="R23" s="13">
        <f>IF(H23="E-製造",0,IF(N23-(O23+P23)&gt;0,0,N23-(O23+P23)))</f>
        <v>0</v>
      </c>
      <c r="S23" s="13">
        <v>1</v>
      </c>
      <c r="T23" s="13">
        <f t="shared" si="1"/>
        <v>0</v>
      </c>
      <c r="U23" s="13">
        <f>N23</f>
        <v>100</v>
      </c>
      <c r="V23" s="13"/>
      <c r="W23" s="13"/>
      <c r="X23" s="2">
        <f t="shared" si="2"/>
        <v>0</v>
      </c>
    </row>
    <row r="24" spans="1:24" s="12" customFormat="1" ht="24.65" customHeight="1" x14ac:dyDescent="0.4">
      <c r="A24" s="41"/>
      <c r="B24" s="42"/>
      <c r="C24" s="15"/>
      <c r="D24" s="15"/>
      <c r="E24" s="15"/>
      <c r="F24" s="13"/>
      <c r="G24" s="13" t="s">
        <v>32</v>
      </c>
      <c r="H24" s="13" t="s">
        <v>33</v>
      </c>
      <c r="I24" s="19">
        <f>U21</f>
        <v>820</v>
      </c>
      <c r="J24" s="13"/>
      <c r="K24" s="13"/>
      <c r="L24" s="13">
        <f t="shared" si="3"/>
        <v>0</v>
      </c>
      <c r="M24" s="13">
        <v>0</v>
      </c>
      <c r="N24" s="2">
        <f t="shared" si="0"/>
        <v>820</v>
      </c>
      <c r="O24" s="13"/>
      <c r="P24" s="13">
        <f t="shared" si="13"/>
        <v>20</v>
      </c>
      <c r="Q24" s="13">
        <f>IF(H24="E-製造",IF(N24-(O24+P24)&gt;0,0,N24-(O24+P24)),0)</f>
        <v>0</v>
      </c>
      <c r="R24" s="13">
        <f>IF(H24="E-製造",0,IF(N24-(O24+P24)&gt;0,0,(O24+P24)-N24))</f>
        <v>0</v>
      </c>
      <c r="S24" s="13">
        <v>500</v>
      </c>
      <c r="T24" s="13">
        <f t="shared" si="1"/>
        <v>0</v>
      </c>
      <c r="U24" s="13">
        <f>N24+T24</f>
        <v>820</v>
      </c>
      <c r="V24" s="13"/>
      <c r="W24" s="13"/>
      <c r="X24" s="2">
        <f t="shared" si="2"/>
        <v>800</v>
      </c>
    </row>
    <row r="25" spans="1:24" s="12" customFormat="1" ht="24.65" customHeight="1" x14ac:dyDescent="0.4">
      <c r="A25" s="36" t="s">
        <v>48</v>
      </c>
      <c r="B25" s="37" t="s">
        <v>49</v>
      </c>
      <c r="C25" s="17"/>
      <c r="D25" s="17"/>
      <c r="E25" s="17"/>
      <c r="F25" s="16"/>
      <c r="G25" s="16" t="s">
        <v>28</v>
      </c>
      <c r="H25" s="16" t="s">
        <v>31</v>
      </c>
      <c r="I25" s="16">
        <f t="shared" ref="I25:I27" si="14">U22</f>
        <v>80</v>
      </c>
      <c r="J25" s="16"/>
      <c r="K25" s="23">
        <v>30</v>
      </c>
      <c r="L25" s="16">
        <f t="shared" si="3"/>
        <v>0</v>
      </c>
      <c r="M25" s="16">
        <f>IF((I25+J25)-(K25+L25)&lt;0,(L25+K25)-I25,J25)</f>
        <v>0</v>
      </c>
      <c r="N25" s="3">
        <f t="shared" si="0"/>
        <v>50</v>
      </c>
      <c r="O25" s="16">
        <v>170</v>
      </c>
      <c r="P25" s="16"/>
      <c r="Q25" s="16">
        <f>IF(H25="E-製造",IF(N25-(O25+P25)&gt;0,0,(O25+P25)-N25),0)</f>
        <v>120</v>
      </c>
      <c r="R25" s="16">
        <f>IF(H25="E-製造",0,IF(N25-(O25+P25)&gt;0,0,N25-(O25+P25)))</f>
        <v>0</v>
      </c>
      <c r="S25" s="16">
        <v>1</v>
      </c>
      <c r="T25" s="16">
        <f t="shared" ref="T25:T27" si="15">ROUNDUP(R25/S25,0)*S25</f>
        <v>0</v>
      </c>
      <c r="U25" s="3">
        <f>N25</f>
        <v>50</v>
      </c>
      <c r="V25" s="16"/>
      <c r="W25" s="16"/>
      <c r="X25" s="3">
        <f t="shared" ref="X25:X27" si="16">IF(U25-(O25+P25+V25+W25)&lt;0,0,U25-(O25+P25+V25+W25))</f>
        <v>0</v>
      </c>
    </row>
    <row r="26" spans="1:24" s="12" customFormat="1" ht="24.65" customHeight="1" x14ac:dyDescent="0.4">
      <c r="A26" s="36"/>
      <c r="B26" s="37"/>
      <c r="C26" s="18"/>
      <c r="D26" s="18"/>
      <c r="E26" s="18"/>
      <c r="F26" s="16"/>
      <c r="G26" s="16" t="s">
        <v>30</v>
      </c>
      <c r="H26" s="16" t="s">
        <v>31</v>
      </c>
      <c r="I26" s="16">
        <f t="shared" si="14"/>
        <v>100</v>
      </c>
      <c r="J26" s="16"/>
      <c r="K26" s="16"/>
      <c r="L26" s="16">
        <f t="shared" si="3"/>
        <v>0</v>
      </c>
      <c r="M26" s="16">
        <f>IF((I26+J26)-(K26+L26)&lt;0,(L26+K26)-I26,J26)</f>
        <v>0</v>
      </c>
      <c r="N26" s="3">
        <f t="shared" si="0"/>
        <v>100</v>
      </c>
      <c r="O26" s="16"/>
      <c r="P26" s="16">
        <f t="shared" ref="P26:P27" si="17">IF(Q25&lt;&gt;"",Q25,"")</f>
        <v>120</v>
      </c>
      <c r="Q26" s="16">
        <f>IF(H26="E-製造",IF(N26-(O26+P26)&gt;0,0,(O26+P26)-N26),0)</f>
        <v>20</v>
      </c>
      <c r="R26" s="16">
        <f>IF(H26="E-製造",0,IF(N26-(O26+P26)&gt;0,0,N26-(O26+P26)))</f>
        <v>0</v>
      </c>
      <c r="S26" s="16">
        <v>1</v>
      </c>
      <c r="T26" s="16">
        <f t="shared" si="15"/>
        <v>0</v>
      </c>
      <c r="U26" s="3">
        <f>N26</f>
        <v>100</v>
      </c>
      <c r="V26" s="16"/>
      <c r="W26" s="16"/>
      <c r="X26" s="3">
        <f t="shared" si="16"/>
        <v>0</v>
      </c>
    </row>
    <row r="27" spans="1:24" s="12" customFormat="1" ht="24.65" customHeight="1" x14ac:dyDescent="0.4">
      <c r="A27" s="36"/>
      <c r="B27" s="37"/>
      <c r="C27" s="18"/>
      <c r="D27" s="18"/>
      <c r="E27" s="18"/>
      <c r="F27" s="16"/>
      <c r="G27" s="16" t="s">
        <v>32</v>
      </c>
      <c r="H27" s="16" t="s">
        <v>33</v>
      </c>
      <c r="I27" s="16">
        <f t="shared" si="14"/>
        <v>820</v>
      </c>
      <c r="J27" s="16"/>
      <c r="K27" s="16"/>
      <c r="L27" s="16">
        <f t="shared" si="3"/>
        <v>0</v>
      </c>
      <c r="M27" s="16">
        <v>0</v>
      </c>
      <c r="N27" s="3">
        <f t="shared" si="0"/>
        <v>820</v>
      </c>
      <c r="O27" s="16"/>
      <c r="P27" s="16">
        <f t="shared" si="17"/>
        <v>20</v>
      </c>
      <c r="Q27" s="16">
        <f>IF(H27="E-製造",IF(N27-(O27+P27)&gt;0,0,N27-(O27+P27)),0)</f>
        <v>0</v>
      </c>
      <c r="R27" s="16">
        <f>IF(H27="E-製造",0,IF(N27-(O27+P27)&gt;0,0,(O27+P27)-N27))</f>
        <v>0</v>
      </c>
      <c r="S27" s="16">
        <v>500</v>
      </c>
      <c r="T27" s="16">
        <f t="shared" si="15"/>
        <v>0</v>
      </c>
      <c r="U27" s="3">
        <f>N27+T27</f>
        <v>820</v>
      </c>
      <c r="V27" s="16"/>
      <c r="W27" s="16"/>
      <c r="X27" s="3">
        <f t="shared" si="16"/>
        <v>800</v>
      </c>
    </row>
    <row r="28" spans="1:24" s="25" customFormat="1" ht="24.65" customHeight="1" x14ac:dyDescent="0.4">
      <c r="A28" s="34" t="s">
        <v>50</v>
      </c>
      <c r="B28" s="35" t="s">
        <v>51</v>
      </c>
      <c r="C28" s="20"/>
      <c r="D28" s="20"/>
      <c r="E28" s="20"/>
      <c r="F28" s="19"/>
      <c r="G28" s="19" t="s">
        <v>28</v>
      </c>
      <c r="H28" s="19" t="s">
        <v>31</v>
      </c>
      <c r="I28" s="19">
        <f t="shared" ref="I28:I30" si="18">U25</f>
        <v>50</v>
      </c>
      <c r="J28" s="19">
        <v>30</v>
      </c>
      <c r="K28" s="19">
        <v>0</v>
      </c>
      <c r="L28" s="19">
        <f t="shared" ref="L28:L30" si="19">M27</f>
        <v>0</v>
      </c>
      <c r="M28" s="19">
        <f>IF((I28+J28)-(K28+L28)&lt;0,(L28+K28)-I28,J28)</f>
        <v>30</v>
      </c>
      <c r="N28" s="8">
        <f t="shared" ref="N28:N30" si="20">IF((I28+J28)-(K28+L28)&gt;0,I28+J28-K28-L28,0)</f>
        <v>80</v>
      </c>
      <c r="O28" s="19">
        <v>170</v>
      </c>
      <c r="P28" s="19"/>
      <c r="Q28" s="19">
        <f>IF(H28="E-製造",IF(N28-(O28+P28)&gt;0,0,(O28+P28)-N28),0)</f>
        <v>90</v>
      </c>
      <c r="R28" s="19">
        <f>IF(H28="E-製造",0,IF(N28-(O28+P28)&gt;0,0,N28-(O28+P28)))</f>
        <v>0</v>
      </c>
      <c r="S28" s="19">
        <v>1</v>
      </c>
      <c r="T28" s="19">
        <f t="shared" ref="T28:T30" si="21">ROUNDUP(R28/S28,0)*S28</f>
        <v>0</v>
      </c>
      <c r="U28" s="8">
        <f>N28</f>
        <v>80</v>
      </c>
      <c r="V28" s="19"/>
      <c r="W28" s="19"/>
      <c r="X28" s="8">
        <f t="shared" ref="X28:X30" si="22">IF(U28-(O28+P28+V28+W28)&lt;0,0,U28-(O28+P28+V28+W28))</f>
        <v>0</v>
      </c>
    </row>
    <row r="29" spans="1:24" s="25" customFormat="1" ht="24.65" customHeight="1" x14ac:dyDescent="0.4">
      <c r="A29" s="34"/>
      <c r="B29" s="35"/>
      <c r="C29" s="21"/>
      <c r="D29" s="21"/>
      <c r="E29" s="21"/>
      <c r="F29" s="19"/>
      <c r="G29" s="19" t="s">
        <v>44</v>
      </c>
      <c r="H29" s="19" t="s">
        <v>31</v>
      </c>
      <c r="I29" s="19">
        <f t="shared" si="18"/>
        <v>100</v>
      </c>
      <c r="J29" s="19">
        <v>40</v>
      </c>
      <c r="K29" s="19"/>
      <c r="L29" s="19">
        <f t="shared" si="19"/>
        <v>30</v>
      </c>
      <c r="M29" s="19">
        <f>IF((I29+J29)-(K29+L29)&lt;0,(L29+K29)-I29,J29)</f>
        <v>40</v>
      </c>
      <c r="N29" s="8">
        <f t="shared" si="20"/>
        <v>110</v>
      </c>
      <c r="O29" s="19"/>
      <c r="P29" s="19">
        <f t="shared" ref="P29:P30" si="23">IF(Q28&lt;&gt;"",Q28,"")</f>
        <v>90</v>
      </c>
      <c r="Q29" s="19">
        <f>IF(H29="E-製造",IF(N29-(O29+P29)&gt;0,0,(O29+P29)-N29),0)</f>
        <v>0</v>
      </c>
      <c r="R29" s="19">
        <f>IF(H29="E-製造",0,IF(N29-(O29+P29)&gt;0,0,N29-(O29+P29)))</f>
        <v>0</v>
      </c>
      <c r="S29" s="19">
        <v>1</v>
      </c>
      <c r="T29" s="19">
        <f t="shared" si="21"/>
        <v>0</v>
      </c>
      <c r="U29" s="8">
        <f>N29</f>
        <v>110</v>
      </c>
      <c r="V29" s="19"/>
      <c r="W29" s="19"/>
      <c r="X29" s="8">
        <f t="shared" si="22"/>
        <v>20</v>
      </c>
    </row>
    <row r="30" spans="1:24" s="25" customFormat="1" ht="24.65" customHeight="1" x14ac:dyDescent="0.4">
      <c r="A30" s="34"/>
      <c r="B30" s="35"/>
      <c r="C30" s="21"/>
      <c r="D30" s="21"/>
      <c r="E30" s="21"/>
      <c r="F30" s="19"/>
      <c r="G30" s="19" t="s">
        <v>32</v>
      </c>
      <c r="H30" s="19" t="s">
        <v>33</v>
      </c>
      <c r="I30" s="19">
        <f t="shared" si="18"/>
        <v>820</v>
      </c>
      <c r="J30" s="19"/>
      <c r="K30" s="19"/>
      <c r="L30" s="19">
        <f t="shared" si="19"/>
        <v>40</v>
      </c>
      <c r="M30" s="19">
        <v>0</v>
      </c>
      <c r="N30" s="8">
        <f t="shared" si="20"/>
        <v>780</v>
      </c>
      <c r="O30" s="19"/>
      <c r="P30" s="19">
        <f t="shared" si="23"/>
        <v>0</v>
      </c>
      <c r="Q30" s="19">
        <f>IF(H30="E-製造",IF(N30-(O30+P30)&gt;0,0,N30-(O30+P30)),0)</f>
        <v>0</v>
      </c>
      <c r="R30" s="19">
        <f>IF(H30="E-製造",0,IF(N30-(O30+P30)&gt;0,0,(O30+P30)-N30))</f>
        <v>0</v>
      </c>
      <c r="S30" s="19">
        <v>500</v>
      </c>
      <c r="T30" s="19">
        <f t="shared" si="21"/>
        <v>0</v>
      </c>
      <c r="U30" s="8">
        <f>N30+T30</f>
        <v>780</v>
      </c>
      <c r="V30" s="19"/>
      <c r="W30" s="19"/>
      <c r="X30" s="8">
        <f t="shared" si="22"/>
        <v>780</v>
      </c>
    </row>
    <row r="31" spans="1:24" s="12" customFormat="1" ht="24.65" customHeight="1" x14ac:dyDescent="0.4">
      <c r="A31" s="36" t="s">
        <v>52</v>
      </c>
      <c r="B31" s="37" t="s">
        <v>53</v>
      </c>
      <c r="C31" s="17"/>
      <c r="D31" s="17"/>
      <c r="E31" s="17"/>
      <c r="F31" s="16"/>
      <c r="G31" s="16" t="s">
        <v>28</v>
      </c>
      <c r="H31" s="16" t="s">
        <v>31</v>
      </c>
      <c r="I31" s="16">
        <f t="shared" ref="I31:I33" si="24">U28</f>
        <v>80</v>
      </c>
      <c r="J31" s="16">
        <v>30</v>
      </c>
      <c r="K31" s="23">
        <v>0</v>
      </c>
      <c r="L31" s="16">
        <f t="shared" ref="L31:L33" si="25">M30</f>
        <v>0</v>
      </c>
      <c r="M31" s="16">
        <f>IF((I31+J31)-(K31+L31)&lt;0,(L31+K31)-I31,J31)</f>
        <v>30</v>
      </c>
      <c r="N31" s="3">
        <f t="shared" ref="N31:N33" si="26">IF((I31+J31)-(K31+L31)&gt;0,I31+J31-K31-L31,0)</f>
        <v>110</v>
      </c>
      <c r="O31" s="16">
        <v>170</v>
      </c>
      <c r="P31" s="16"/>
      <c r="Q31" s="16">
        <f>IF(H31="E-製造",IF(N31-(O31+P31)&gt;0,0,(O31+P31)-N31),0)</f>
        <v>60</v>
      </c>
      <c r="R31" s="16">
        <f>IF(H31="E-製造",0,IF(N31-(O31+P31)&gt;0,0,N31-(O31+P31)))</f>
        <v>0</v>
      </c>
      <c r="S31" s="16">
        <v>1</v>
      </c>
      <c r="T31" s="16">
        <f t="shared" ref="T31:T33" si="27">ROUNDUP(R31/S31,0)*S31</f>
        <v>0</v>
      </c>
      <c r="U31" s="3">
        <f>N31</f>
        <v>110</v>
      </c>
      <c r="V31" s="16"/>
      <c r="W31" s="16"/>
      <c r="X31" s="3">
        <f t="shared" ref="X31:X33" si="28">IF(U31-(O31+P31+V31+W31)&lt;0,0,U31-(O31+P31+V31+W31))</f>
        <v>0</v>
      </c>
    </row>
    <row r="32" spans="1:24" s="12" customFormat="1" ht="24.65" customHeight="1" x14ac:dyDescent="0.4">
      <c r="A32" s="36"/>
      <c r="B32" s="37"/>
      <c r="C32" s="18"/>
      <c r="D32" s="18"/>
      <c r="E32" s="18"/>
      <c r="F32" s="16"/>
      <c r="G32" s="16" t="s">
        <v>30</v>
      </c>
      <c r="H32" s="16" t="s">
        <v>31</v>
      </c>
      <c r="I32" s="16">
        <f t="shared" si="24"/>
        <v>110</v>
      </c>
      <c r="J32" s="24">
        <v>40</v>
      </c>
      <c r="K32" s="16"/>
      <c r="L32" s="16">
        <f t="shared" si="25"/>
        <v>30</v>
      </c>
      <c r="M32" s="16">
        <f>IF((I32+J32)-(K32+L32)&lt;0,(L32+K32)-I32,J32)</f>
        <v>40</v>
      </c>
      <c r="N32" s="3">
        <f t="shared" si="26"/>
        <v>120</v>
      </c>
      <c r="O32" s="16"/>
      <c r="P32" s="16">
        <f t="shared" ref="P32:P33" si="29">IF(Q31&lt;&gt;"",Q31,"")</f>
        <v>60</v>
      </c>
      <c r="Q32" s="16">
        <f>IF(H32="E-製造",IF(N32-(O32+P32)&gt;0,0,(O32+P32)-N32),0)</f>
        <v>0</v>
      </c>
      <c r="R32" s="16">
        <f>IF(H32="E-製造",0,IF(N32-(O32+P32)&gt;0,0,N32-(O32+P32)))</f>
        <v>0</v>
      </c>
      <c r="S32" s="16">
        <v>1</v>
      </c>
      <c r="T32" s="16">
        <f t="shared" si="27"/>
        <v>0</v>
      </c>
      <c r="U32" s="3">
        <f>N32</f>
        <v>120</v>
      </c>
      <c r="V32" s="16"/>
      <c r="W32" s="16"/>
      <c r="X32" s="3">
        <f t="shared" si="28"/>
        <v>60</v>
      </c>
    </row>
    <row r="33" spans="1:24" s="12" customFormat="1" ht="24.65" customHeight="1" x14ac:dyDescent="0.4">
      <c r="A33" s="36"/>
      <c r="B33" s="37"/>
      <c r="C33" s="18"/>
      <c r="D33" s="18"/>
      <c r="E33" s="18"/>
      <c r="F33" s="16"/>
      <c r="G33" s="16" t="s">
        <v>32</v>
      </c>
      <c r="H33" s="16" t="s">
        <v>33</v>
      </c>
      <c r="I33" s="16">
        <f t="shared" si="24"/>
        <v>780</v>
      </c>
      <c r="J33" s="16"/>
      <c r="K33" s="16"/>
      <c r="L33" s="16">
        <f t="shared" si="25"/>
        <v>40</v>
      </c>
      <c r="M33" s="16">
        <v>0</v>
      </c>
      <c r="N33" s="3">
        <f t="shared" si="26"/>
        <v>740</v>
      </c>
      <c r="O33" s="16"/>
      <c r="P33" s="16">
        <f t="shared" si="29"/>
        <v>0</v>
      </c>
      <c r="Q33" s="16">
        <f>IF(H33="E-製造",IF(N33-(O33+P33)&gt;0,0,N33-(O33+P33)),0)</f>
        <v>0</v>
      </c>
      <c r="R33" s="16">
        <f>IF(H33="E-製造",0,IF(N33-(O33+P33)&gt;0,0,(O33+P33)-N33))</f>
        <v>0</v>
      </c>
      <c r="S33" s="16">
        <v>500</v>
      </c>
      <c r="T33" s="16">
        <f t="shared" si="27"/>
        <v>0</v>
      </c>
      <c r="U33" s="3">
        <f>N33+T33</f>
        <v>740</v>
      </c>
      <c r="V33" s="16"/>
      <c r="W33" s="16"/>
      <c r="X33" s="3">
        <f t="shared" si="28"/>
        <v>740</v>
      </c>
    </row>
    <row r="35" spans="1:24" ht="21.65" customHeight="1" x14ac:dyDescent="0.4">
      <c r="I35" s="26"/>
      <c r="J35" s="1" t="s">
        <v>54</v>
      </c>
    </row>
  </sheetData>
  <mergeCells count="21">
    <mergeCell ref="B6:B8"/>
    <mergeCell ref="A9:A11"/>
    <mergeCell ref="B9:B11"/>
    <mergeCell ref="A25:A27"/>
    <mergeCell ref="B25:B27"/>
    <mergeCell ref="A28:A30"/>
    <mergeCell ref="B28:B30"/>
    <mergeCell ref="A31:A33"/>
    <mergeCell ref="B31:B33"/>
    <mergeCell ref="A2:H2"/>
    <mergeCell ref="A18:A21"/>
    <mergeCell ref="B18:B21"/>
    <mergeCell ref="A22:A24"/>
    <mergeCell ref="B22:B24"/>
    <mergeCell ref="B3:B5"/>
    <mergeCell ref="B12:B14"/>
    <mergeCell ref="B15:B17"/>
    <mergeCell ref="A3:A5"/>
    <mergeCell ref="A12:A14"/>
    <mergeCell ref="A15:A17"/>
    <mergeCell ref="A6:A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0B7A-D2FC-468A-A78C-E4887AC9775F}">
  <dimension ref="A1:C12"/>
  <sheetViews>
    <sheetView workbookViewId="0">
      <selection activeCell="A12" sqref="A12"/>
    </sheetView>
  </sheetViews>
  <sheetFormatPr defaultColWidth="8.90625" defaultRowHeight="17" x14ac:dyDescent="0.4"/>
  <cols>
    <col min="1" max="1" width="44.54296875" style="27" bestFit="1" customWidth="1"/>
    <col min="2" max="2" width="29.08984375" style="27" customWidth="1"/>
    <col min="3" max="3" width="36.7265625" style="27" customWidth="1"/>
    <col min="4" max="16384" width="8.90625" style="27"/>
  </cols>
  <sheetData>
    <row r="1" spans="1:3" ht="19.5" x14ac:dyDescent="0.4">
      <c r="A1" s="28" t="s">
        <v>55</v>
      </c>
      <c r="B1" s="28" t="s">
        <v>56</v>
      </c>
      <c r="C1" s="33" t="s">
        <v>57</v>
      </c>
    </row>
    <row r="2" spans="1:3" ht="15" customHeight="1" x14ac:dyDescent="0.4">
      <c r="A2" s="29" t="s">
        <v>58</v>
      </c>
      <c r="B2" s="29" t="s">
        <v>59</v>
      </c>
      <c r="C2" s="32"/>
    </row>
    <row r="3" spans="1:3" ht="15" customHeight="1" x14ac:dyDescent="0.4">
      <c r="A3" s="29" t="s">
        <v>60</v>
      </c>
      <c r="B3" s="29" t="s">
        <v>59</v>
      </c>
      <c r="C3" s="32"/>
    </row>
    <row r="4" spans="1:3" ht="15" customHeight="1" x14ac:dyDescent="0.4">
      <c r="A4" s="29" t="s">
        <v>61</v>
      </c>
      <c r="B4" s="30" t="s">
        <v>62</v>
      </c>
      <c r="C4" s="32"/>
    </row>
    <row r="5" spans="1:3" ht="15" customHeight="1" x14ac:dyDescent="0.4">
      <c r="A5" s="29" t="s">
        <v>63</v>
      </c>
      <c r="B5" s="30" t="s">
        <v>62</v>
      </c>
      <c r="C5" s="32"/>
    </row>
    <row r="6" spans="1:3" ht="15" customHeight="1" x14ac:dyDescent="0.4">
      <c r="A6" s="29" t="s">
        <v>64</v>
      </c>
      <c r="B6" s="29" t="s">
        <v>65</v>
      </c>
      <c r="C6" s="32" t="s">
        <v>66</v>
      </c>
    </row>
    <row r="7" spans="1:3" ht="15" customHeight="1" x14ac:dyDescent="0.4">
      <c r="A7" s="29" t="s">
        <v>67</v>
      </c>
      <c r="B7" s="29" t="s">
        <v>65</v>
      </c>
      <c r="C7" s="32" t="s">
        <v>68</v>
      </c>
    </row>
    <row r="8" spans="1:3" ht="15" customHeight="1" x14ac:dyDescent="0.4">
      <c r="A8" s="29" t="s">
        <v>49</v>
      </c>
      <c r="B8" s="29" t="s">
        <v>69</v>
      </c>
      <c r="C8" s="32"/>
    </row>
    <row r="9" spans="1:3" ht="15" customHeight="1" x14ac:dyDescent="0.4">
      <c r="A9" s="31" t="s">
        <v>70</v>
      </c>
      <c r="B9" s="29" t="s">
        <v>71</v>
      </c>
      <c r="C9" s="32"/>
    </row>
    <row r="10" spans="1:3" ht="36.75" customHeight="1" x14ac:dyDescent="0.4">
      <c r="A10" s="31" t="s">
        <v>51</v>
      </c>
      <c r="B10" s="29" t="s">
        <v>71</v>
      </c>
      <c r="C10" s="32"/>
    </row>
    <row r="12" spans="1:3" x14ac:dyDescent="0.4">
      <c r="A12" s="27" t="s">
        <v>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5c5379f-bd82-4962-9571-27ec5e044409}" enabled="1" method="Standard" siteId="{71e18682-eb13-4225-a121-dbaa52d8a5e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預採帳推移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Wang</dc:creator>
  <cp:keywords/>
  <dc:description/>
  <cp:lastModifiedBy>Oliver Wang</cp:lastModifiedBy>
  <cp:revision/>
  <dcterms:created xsi:type="dcterms:W3CDTF">2025-03-25T02:29:25Z</dcterms:created>
  <dcterms:modified xsi:type="dcterms:W3CDTF">2026-03-05T07:55:03Z</dcterms:modified>
  <cp:category/>
  <cp:contentStatus/>
</cp:coreProperties>
</file>